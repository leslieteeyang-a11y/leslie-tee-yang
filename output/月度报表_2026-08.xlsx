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 Read me" sheetId="1" state="visible" r:id="rId1"/>
    <sheet name="Shopee SKU" sheetId="2" state="visible" r:id="rId2"/>
    <sheet name="Lazada SKU" sheetId="3" state="visible" r:id="rId3"/>
    <sheet name="广告与直播" sheetId="4" state="visible" r:id="rId4"/>
    <sheet name="Top 10" sheetId="5" state="visible" r:id="rId5"/>
    <sheet name="销售汇总-全品牌" sheetId="6" state="visible" r:id="rId6"/>
    <sheet name="销售汇总-Hem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;@"/>
    <numFmt numFmtId="165" formatCode="#,##0.00;-#,##0.00;;@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5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SHOPEE</a:t>
            </a:r>
          </a:p>
        </rich>
      </tx>
    </title>
    <plotArea>
      <lineChart>
        <grouping val="standard"/>
        <ser>
          <idx val="0"/>
          <order val="0"/>
          <tx>
            <strRef>
              <f>'Shopee SKU'!B2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'Shopee SKU'!$A$3:$A$9</f>
            </numRef>
          </cat>
          <val>
            <numRef>
              <f>'Shopee SKU'!$B$3:$B$9</f>
            </numRef>
          </val>
          <smooth val="0"/>
        </ser>
        <ser>
          <idx val="1"/>
          <order val="1"/>
          <tx>
            <strRef>
              <f>'Shopee SKU'!C2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'Shopee SKU'!$A$3:$A$9</f>
            </numRef>
          </cat>
          <val>
            <numRef>
              <f>'Shopee SKU'!$C$3:$C$9</f>
            </numRef>
          </val>
          <smooth val="0"/>
        </ser>
        <ser>
          <idx val="2"/>
          <order val="2"/>
          <tx>
            <strRef>
              <f>'Shopee SKU'!D2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'Shopee SKU'!$A$3:$A$9</f>
            </numRef>
          </cat>
          <val>
            <numRef>
              <f>'Shopee SKU'!$D$3:$D$9</f>
            </numRef>
          </val>
          <smooth val="0"/>
        </ser>
        <ser>
          <idx val="3"/>
          <order val="3"/>
          <tx>
            <strRef>
              <f>'Shopee SKU'!E2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'Shopee SKU'!$A$3:$A$9</f>
            </numRef>
          </cat>
          <val>
            <numRef>
              <f>'Shopee SKU'!$E$3:$E$9</f>
            </numRef>
          </val>
          <smooth val="0"/>
        </ser>
        <ser>
          <idx val="4"/>
          <order val="4"/>
          <tx>
            <strRef>
              <f>'Shopee SKU'!F2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'Shopee SKU'!$A$3:$A$9</f>
            </numRef>
          </cat>
          <val>
            <numRef>
              <f>'Shopee SKU'!$F$3:$F$9</f>
            </numRef>
          </val>
          <smooth val="0"/>
        </ser>
        <ser>
          <idx val="5"/>
          <order val="5"/>
          <tx>
            <strRef>
              <f>'Shopee SKU'!G2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'Shopee SKU'!$A$3:$A$9</f>
            </numRef>
          </cat>
          <val>
            <numRef>
              <f>'Shopee SKU'!$G$3:$G$9</f>
            </numRef>
          </val>
          <smooth val="0"/>
        </ser>
        <ser>
          <idx val="6"/>
          <order val="6"/>
          <tx>
            <strRef>
              <f>'Shopee SKU'!H2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'Shopee SKU'!$A$3:$A$9</f>
            </numRef>
          </cat>
          <val>
            <numRef>
              <f>'Shopee SKU'!$H$3:$H$9</f>
            </numRef>
          </val>
          <smooth val="0"/>
        </ser>
        <ser>
          <idx val="7"/>
          <order val="7"/>
          <tx>
            <strRef>
              <f>'Shopee SKU'!I2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'Shopee SKU'!$A$3:$A$9</f>
            </numRef>
          </cat>
          <val>
            <numRef>
              <f>'Shopee SKU'!$I$3:$I$9</f>
            </numRef>
          </val>
          <smooth val="0"/>
        </ser>
        <ser>
          <idx val="8"/>
          <order val="8"/>
          <tx>
            <strRef>
              <f>'Shopee SKU'!J2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'Shopee SKU'!$A$3:$A$9</f>
            </numRef>
          </cat>
          <val>
            <numRef>
              <f>'Shopee SKU'!$J$3:$J$9</f>
            </numRef>
          </val>
          <smooth val="0"/>
        </ser>
        <ser>
          <idx val="9"/>
          <order val="9"/>
          <tx>
            <strRef>
              <f>'Shopee SKU'!K2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'Shopee SKU'!$A$3:$A$9</f>
            </numRef>
          </cat>
          <val>
            <numRef>
              <f>'Shopee SKU'!$K$3:$K$9</f>
            </numRef>
          </val>
          <smooth val="0"/>
        </ser>
        <ser>
          <idx val="10"/>
          <order val="10"/>
          <tx>
            <strRef>
              <f>'Shopee SKU'!L2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'Shopee SKU'!$A$3:$A$9</f>
            </numRef>
          </cat>
          <val>
            <numRef>
              <f>'Shopee SKU'!$L$3:$L$9</f>
            </numRef>
          </val>
          <smooth val="0"/>
        </ser>
        <ser>
          <idx val="11"/>
          <order val="11"/>
          <tx>
            <strRef>
              <f>'Shopee SKU'!M2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'Shopee SKU'!$A$3:$A$9</f>
            </numRef>
          </cat>
          <val>
            <numRef>
              <f>'Shopee SKU'!$M$3:$M$9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LAZADA</a:t>
            </a:r>
          </a:p>
        </rich>
      </tx>
    </title>
    <plotArea>
      <lineChart>
        <grouping val="standard"/>
        <ser>
          <idx val="0"/>
          <order val="0"/>
          <tx>
            <strRef>
              <f>'Lazada SKU'!B2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'Lazada SKU'!$A$3:$A$9</f>
            </numRef>
          </cat>
          <val>
            <numRef>
              <f>'Lazada SKU'!$B$3:$B$9</f>
            </numRef>
          </val>
          <smooth val="0"/>
        </ser>
        <ser>
          <idx val="1"/>
          <order val="1"/>
          <tx>
            <strRef>
              <f>'Lazada SKU'!C2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'Lazada SKU'!$A$3:$A$9</f>
            </numRef>
          </cat>
          <val>
            <numRef>
              <f>'Lazada SKU'!$C$3:$C$9</f>
            </numRef>
          </val>
          <smooth val="0"/>
        </ser>
        <ser>
          <idx val="2"/>
          <order val="2"/>
          <tx>
            <strRef>
              <f>'Lazada SKU'!D2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'Lazada SKU'!$A$3:$A$9</f>
            </numRef>
          </cat>
          <val>
            <numRef>
              <f>'Lazada SKU'!$D$3:$D$9</f>
            </numRef>
          </val>
          <smooth val="0"/>
        </ser>
        <ser>
          <idx val="3"/>
          <order val="3"/>
          <tx>
            <strRef>
              <f>'Lazada SKU'!E2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'Lazada SKU'!$A$3:$A$9</f>
            </numRef>
          </cat>
          <val>
            <numRef>
              <f>'Lazada SKU'!$E$3:$E$9</f>
            </numRef>
          </val>
          <smooth val="0"/>
        </ser>
        <ser>
          <idx val="4"/>
          <order val="4"/>
          <tx>
            <strRef>
              <f>'Lazada SKU'!F2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'Lazada SKU'!$A$3:$A$9</f>
            </numRef>
          </cat>
          <val>
            <numRef>
              <f>'Lazada SKU'!$F$3:$F$9</f>
            </numRef>
          </val>
          <smooth val="0"/>
        </ser>
        <ser>
          <idx val="5"/>
          <order val="5"/>
          <tx>
            <strRef>
              <f>'Lazada SKU'!G2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'Lazada SKU'!$A$3:$A$9</f>
            </numRef>
          </cat>
          <val>
            <numRef>
              <f>'Lazada SKU'!$G$3:$G$9</f>
            </numRef>
          </val>
          <smooth val="0"/>
        </ser>
        <ser>
          <idx val="6"/>
          <order val="6"/>
          <tx>
            <strRef>
              <f>'Lazada SKU'!H2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'Lazada SKU'!$A$3:$A$9</f>
            </numRef>
          </cat>
          <val>
            <numRef>
              <f>'Lazada SKU'!$H$3:$H$9</f>
            </numRef>
          </val>
          <smooth val="0"/>
        </ser>
        <ser>
          <idx val="7"/>
          <order val="7"/>
          <tx>
            <strRef>
              <f>'Lazada SKU'!I2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'Lazada SKU'!$A$3:$A$9</f>
            </numRef>
          </cat>
          <val>
            <numRef>
              <f>'Lazada SKU'!$I$3:$I$9</f>
            </numRef>
          </val>
          <smooth val="0"/>
        </ser>
        <ser>
          <idx val="8"/>
          <order val="8"/>
          <tx>
            <strRef>
              <f>'Lazada SKU'!J2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'Lazada SKU'!$A$3:$A$9</f>
            </numRef>
          </cat>
          <val>
            <numRef>
              <f>'Lazada SKU'!$J$3:$J$9</f>
            </numRef>
          </val>
          <smooth val="0"/>
        </ser>
        <ser>
          <idx val="9"/>
          <order val="9"/>
          <tx>
            <strRef>
              <f>'Lazada SKU'!K2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'Lazada SKU'!$A$3:$A$9</f>
            </numRef>
          </cat>
          <val>
            <numRef>
              <f>'Lazada SKU'!$K$3:$K$9</f>
            </numRef>
          </val>
          <smooth val="0"/>
        </ser>
        <ser>
          <idx val="10"/>
          <order val="10"/>
          <tx>
            <strRef>
              <f>'Lazada SKU'!L2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'Lazada SKU'!$A$3:$A$9</f>
            </numRef>
          </cat>
          <val>
            <numRef>
              <f>'Lazada SKU'!$L$3:$L$9</f>
            </numRef>
          </val>
          <smooth val="0"/>
        </ser>
        <ser>
          <idx val="11"/>
          <order val="11"/>
          <tx>
            <strRef>
              <f>'Lazada SKU'!M2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'Lazada SKU'!$A$3:$A$9</f>
            </numRef>
          </cat>
          <val>
            <numRef>
              <f>'Lazada SKU'!$M$3:$M$9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 ht="24" customHeight="1">
      <c r="A1" s="1" t="inlineStr">
        <is>
          <t>月度电商报表 / Monthly E-Commerce Report — 2026-08</t>
        </is>
      </c>
    </row>
    <row r="3">
      <c r="A3" s="2" t="inlineStr">
        <is>
          <t>报表月份 Report month</t>
        </is>
      </c>
      <c r="B3" s="3" t="inlineStr">
        <is>
          <t>2026 年 8月  (2026-08)</t>
        </is>
      </c>
    </row>
    <row r="4">
      <c r="A4" s="2" t="inlineStr">
        <is>
          <t>生成日期 Generated on</t>
        </is>
      </c>
      <c r="B4" s="3" t="inlineStr">
        <is>
          <t>2026-09-08</t>
        </is>
      </c>
    </row>
    <row r="5">
      <c r="A5" s="2" t="inlineStr">
        <is>
          <t>数据来源 Data source</t>
        </is>
      </c>
      <c r="B5" s="3" t="inlineStr">
        <is>
          <t>data/2026-08.json（本月明细） + data/2026-*.json（SKU 全年趋势）</t>
        </is>
      </c>
    </row>
    <row r="6">
      <c r="A6" s="2" t="inlineStr">
        <is>
          <t>金额单位 Currency</t>
        </is>
      </c>
      <c r="B6" s="3" t="inlineStr">
        <is>
          <t>RM（马币）</t>
        </is>
      </c>
    </row>
    <row r="7">
      <c r="A7" s="2" t="inlineStr">
        <is>
          <t>已有数据的月份 Months on file</t>
        </is>
      </c>
      <c r="B7" s="3" t="inlineStr">
        <is>
          <t>2026-01, 2026-02, 2026-03, 2026-04, 2026-05, 2026-06, 2026-07, 2026-08</t>
        </is>
      </c>
    </row>
    <row r="8">
      <c r="A8" s="2" t="inlineStr"/>
      <c r="B8" s="3" t="inlineStr"/>
    </row>
    <row r="9">
      <c r="A9" s="2" t="inlineStr">
        <is>
          <t>每月更新步骤 Monthly steps</t>
        </is>
      </c>
      <c r="B9" s="3" t="inlineStr"/>
    </row>
    <row r="10">
      <c r="A10" s="2" t="inlineStr">
        <is>
          <t>1</t>
        </is>
      </c>
      <c r="B10" s="3" t="inlineStr">
        <is>
          <t>复制 data/_template.json 为 data/YYYY-MM.json（例如 data/2026-09.json）</t>
        </is>
      </c>
    </row>
    <row r="11">
      <c r="A11" s="2" t="inlineStr">
        <is>
          <t>2</t>
        </is>
      </c>
      <c r="B11" s="3" t="inlineStr">
        <is>
          <t>把当月数字填进去：SKU 数量、广告、直播、Top 10、销售汇总两张表</t>
        </is>
      </c>
    </row>
    <row r="12">
      <c r="A12" s="2" t="inlineStr">
        <is>
          <t>3</t>
        </is>
      </c>
      <c r="B12" s="3" t="inlineStr">
        <is>
          <t>执行：python3 scripts/generate_report.py YYYY-MM</t>
        </is>
      </c>
    </row>
    <row r="13">
      <c r="A13" s="2" t="inlineStr">
        <is>
          <t>4</t>
        </is>
      </c>
      <c r="B13" s="3" t="inlineStr">
        <is>
          <t>在 output/ 取得 月度报表_YYYY-MM.xlsx</t>
        </is>
      </c>
    </row>
    <row r="14">
      <c r="A14" s="2" t="inlineStr"/>
      <c r="B14" s="3" t="inlineStr"/>
    </row>
    <row r="15">
      <c r="A15" s="2" t="inlineStr">
        <is>
          <t>工作表说明 Sheets</t>
        </is>
      </c>
      <c r="B15" s="3" t="inlineStr"/>
    </row>
    <row r="16">
      <c r="A16" s="2" t="inlineStr">
        <is>
          <t>Shopee SKU</t>
        </is>
      </c>
      <c r="B16" s="3" t="inlineStr">
        <is>
          <t>指定 SKU 的 Shopee 全年月度销量表 + 折线图（自动汇总各月数据文件）</t>
        </is>
      </c>
    </row>
    <row r="17">
      <c r="A17" s="2" t="inlineStr">
        <is>
          <t>Lazada SKU</t>
        </is>
      </c>
      <c r="B17" s="3" t="inlineStr">
        <is>
          <t>指定 SKU 的 Lazada 全年月度销量表 + 折线图</t>
        </is>
      </c>
    </row>
    <row r="18">
      <c r="A18" s="2" t="inlineStr">
        <is>
          <t>广告与直播</t>
        </is>
      </c>
      <c r="B18" s="3" t="inlineStr">
        <is>
          <t>Shopee Ads、Lazada Sponsored Affiliate、Shopee AMS、Live Sales</t>
        </is>
      </c>
    </row>
    <row r="19">
      <c r="A19" s="2" t="inlineStr">
        <is>
          <t>Top 10</t>
        </is>
      </c>
      <c r="B19" s="3" t="inlineStr">
        <is>
          <t>当月销量上升 / 下降前十的 SKU（Lazada、Shopee 与合计）</t>
        </is>
      </c>
    </row>
    <row r="20">
      <c r="A20" s="2" t="inlineStr">
        <is>
          <t>销售汇总-全品牌</t>
        </is>
      </c>
      <c r="B20" s="3" t="inlineStr">
        <is>
          <t>Sales Forecast Summary (All brand)</t>
        </is>
      </c>
    </row>
    <row r="21">
      <c r="A21" s="2" t="inlineStr">
        <is>
          <t>销售汇总-Hemos</t>
        </is>
      </c>
      <c r="B21" s="3" t="inlineStr">
        <is>
          <t>Sales Forecast Summary (Hemos &amp; Hemos X only)</t>
        </is>
      </c>
    </row>
    <row r="22">
      <c r="A22" s="2" t="inlineStr"/>
      <c r="B22" s="3" t="inlineStr"/>
    </row>
    <row r="23">
      <c r="A23" s="2" t="inlineStr">
        <is>
          <t>备注 Notes</t>
        </is>
      </c>
      <c r="B23" s="3" t="inlineStr">
        <is>
          <t>表内合计、百分比、平均单价皆为 Excel 公式，改动明细数字后会自动重算。</t>
        </is>
      </c>
    </row>
    <row r="24">
      <c r="A24" s="2" t="inlineStr"/>
      <c r="B24" s="3" t="inlineStr">
        <is>
          <t>数值为 0 或未填写的格子显示为空白；月度合计行的 0 会照常显示。</t>
        </is>
      </c>
    </row>
    <row r="25">
      <c r="A25" s="2" t="inlineStr"/>
      <c r="B25" s="3" t="inlineStr">
        <is>
          <t>SKU 趋势表的 SKU 清单在 config.json 的 sku_trend_list 内维护。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SHOPEE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>
      <c r="A2" s="5" t="n">
        <v>2026</v>
      </c>
      <c r="B2" s="5" t="inlineStr">
        <is>
          <t>JAN</t>
        </is>
      </c>
      <c r="C2" s="5" t="inlineStr">
        <is>
          <t>FEB</t>
        </is>
      </c>
      <c r="D2" s="5" t="inlineStr">
        <is>
          <t>MAR</t>
        </is>
      </c>
      <c r="E2" s="5" t="inlineStr">
        <is>
          <t>APR</t>
        </is>
      </c>
      <c r="F2" s="5" t="inlineStr">
        <is>
          <t>MAY</t>
        </is>
      </c>
      <c r="G2" s="5" t="inlineStr">
        <is>
          <t>JUN</t>
        </is>
      </c>
      <c r="H2" s="5" t="inlineStr">
        <is>
          <t>JUL</t>
        </is>
      </c>
      <c r="I2" s="5" t="inlineStr">
        <is>
          <t>AUG</t>
        </is>
      </c>
      <c r="J2" s="5" t="inlineStr">
        <is>
          <t>SEP</t>
        </is>
      </c>
      <c r="K2" s="5" t="inlineStr">
        <is>
          <t>OCT</t>
        </is>
      </c>
      <c r="L2" s="5" t="inlineStr">
        <is>
          <t>NOV</t>
        </is>
      </c>
      <c r="M2" s="5" t="inlineStr">
        <is>
          <t>DEC</t>
        </is>
      </c>
    </row>
    <row r="3">
      <c r="A3" s="6" t="inlineStr">
        <is>
          <t>HM-YKR05-MB</t>
        </is>
      </c>
      <c r="B3" s="7" t="n">
        <v>0</v>
      </c>
      <c r="C3" s="7" t="n">
        <v>0</v>
      </c>
      <c r="D3" s="7" t="n">
        <v>1</v>
      </c>
      <c r="E3" s="7" t="n">
        <v>2</v>
      </c>
      <c r="F3" s="7" t="n">
        <v>0</v>
      </c>
      <c r="G3" s="7" t="n">
        <v>1</v>
      </c>
      <c r="H3" s="7" t="n">
        <v>0</v>
      </c>
      <c r="I3" s="7" t="n">
        <v>2</v>
      </c>
      <c r="J3" s="7" t="n"/>
      <c r="K3" s="7" t="n"/>
      <c r="L3" s="7" t="n"/>
      <c r="M3" s="7" t="n"/>
    </row>
    <row r="4">
      <c r="A4" s="6" t="inlineStr">
        <is>
          <t>HM-YKR06-MB</t>
        </is>
      </c>
      <c r="B4" s="7" t="n">
        <v>1</v>
      </c>
      <c r="C4" s="7" t="n">
        <v>1</v>
      </c>
      <c r="D4" s="7" t="n">
        <v>3</v>
      </c>
      <c r="E4" s="7" t="n">
        <v>3</v>
      </c>
      <c r="F4" s="7" t="n">
        <v>7</v>
      </c>
      <c r="G4" s="7" t="n">
        <v>1</v>
      </c>
      <c r="H4" s="7" t="n">
        <v>5</v>
      </c>
      <c r="I4" s="7" t="n">
        <v>3</v>
      </c>
      <c r="J4" s="7" t="n"/>
      <c r="K4" s="7" t="n"/>
      <c r="L4" s="7" t="n"/>
      <c r="M4" s="7" t="n"/>
    </row>
    <row r="5">
      <c r="A5" s="6" t="inlineStr">
        <is>
          <t>HM-YKR07-MB</t>
        </is>
      </c>
      <c r="B5" s="7" t="n">
        <v>2</v>
      </c>
      <c r="C5" s="7" t="n">
        <v>2</v>
      </c>
      <c r="D5" s="7" t="n">
        <v>3</v>
      </c>
      <c r="E5" s="7" t="n">
        <v>2</v>
      </c>
      <c r="F5" s="7" t="n">
        <v>1</v>
      </c>
      <c r="G5" s="7" t="n">
        <v>0</v>
      </c>
      <c r="H5" s="7" t="n">
        <v>1</v>
      </c>
      <c r="I5" s="7" t="n">
        <v>1</v>
      </c>
      <c r="J5" s="7" t="n"/>
      <c r="K5" s="7" t="n"/>
      <c r="L5" s="7" t="n"/>
      <c r="M5" s="7" t="n"/>
    </row>
    <row r="6">
      <c r="A6" s="6" t="inlineStr">
        <is>
          <t>HM-YKR08-MB</t>
        </is>
      </c>
      <c r="B6" s="7" t="n">
        <v>3</v>
      </c>
      <c r="C6" s="7" t="n">
        <v>1</v>
      </c>
      <c r="D6" s="7" t="n">
        <v>4</v>
      </c>
      <c r="E6" s="7" t="n">
        <v>0</v>
      </c>
      <c r="F6" s="7" t="n">
        <v>0</v>
      </c>
      <c r="G6" s="7" t="n">
        <v>0</v>
      </c>
      <c r="H6" s="7" t="n">
        <v>3</v>
      </c>
      <c r="I6" s="7" t="n">
        <v>4</v>
      </c>
      <c r="J6" s="7" t="n"/>
      <c r="K6" s="7" t="n"/>
      <c r="L6" s="7" t="n"/>
      <c r="M6" s="7" t="n"/>
    </row>
    <row r="7">
      <c r="A7" s="6" t="inlineStr">
        <is>
          <t>HM-YKS4050-MB</t>
        </is>
      </c>
      <c r="B7" s="7" t="n">
        <v>4</v>
      </c>
      <c r="C7" s="7" t="n">
        <v>1</v>
      </c>
      <c r="D7" s="7" t="n">
        <v>2</v>
      </c>
      <c r="E7" s="7" t="n">
        <v>1</v>
      </c>
      <c r="F7" s="7" t="n">
        <v>2</v>
      </c>
      <c r="G7" s="7" t="n">
        <v>1</v>
      </c>
      <c r="H7" s="7" t="n">
        <v>4</v>
      </c>
      <c r="I7" s="7" t="n">
        <v>1</v>
      </c>
      <c r="J7" s="7" t="n"/>
      <c r="K7" s="7" t="n"/>
      <c r="L7" s="7" t="n"/>
      <c r="M7" s="7" t="n"/>
    </row>
    <row r="8">
      <c r="A8" s="6" t="inlineStr">
        <is>
          <t>HM-YKS5070-MB</t>
        </is>
      </c>
      <c r="B8" s="7" t="n">
        <v>7</v>
      </c>
      <c r="C8" s="7" t="n">
        <v>0</v>
      </c>
      <c r="D8" s="7" t="n">
        <v>6</v>
      </c>
      <c r="E8" s="7" t="n">
        <v>10</v>
      </c>
      <c r="F8" s="7" t="n">
        <v>6</v>
      </c>
      <c r="G8" s="7" t="n">
        <v>13</v>
      </c>
      <c r="H8" s="7" t="n">
        <v>12</v>
      </c>
      <c r="I8" s="7" t="n">
        <v>6</v>
      </c>
      <c r="J8" s="7" t="n"/>
      <c r="K8" s="7" t="n"/>
      <c r="L8" s="7" t="n"/>
      <c r="M8" s="7" t="n"/>
    </row>
    <row r="9">
      <c r="A9" s="6" t="inlineStr">
        <is>
          <t>HM-YKS7090-MB</t>
        </is>
      </c>
      <c r="B9" s="7" t="n">
        <v>0</v>
      </c>
      <c r="C9" s="7" t="n">
        <v>0</v>
      </c>
      <c r="D9" s="7" t="n">
        <v>8</v>
      </c>
      <c r="E9" s="7" t="n">
        <v>17</v>
      </c>
      <c r="F9" s="7" t="n">
        <v>10</v>
      </c>
      <c r="G9" s="7" t="n">
        <v>6</v>
      </c>
      <c r="H9" s="7" t="n">
        <v>11</v>
      </c>
      <c r="I9" s="7" t="n">
        <v>1</v>
      </c>
      <c r="J9" s="7" t="n"/>
      <c r="K9" s="7" t="n"/>
      <c r="L9" s="7" t="n"/>
      <c r="M9" s="7" t="n"/>
    </row>
    <row r="10">
      <c r="A10" s="8" t="inlineStr">
        <is>
          <t>TOTAL</t>
        </is>
      </c>
      <c r="B10" s="9">
        <f>SUM(B3:B9)</f>
        <v/>
      </c>
      <c r="C10" s="9">
        <f>SUM(C3:C9)</f>
        <v/>
      </c>
      <c r="D10" s="9">
        <f>SUM(D3:D9)</f>
        <v/>
      </c>
      <c r="E10" s="9">
        <f>SUM(E3:E9)</f>
        <v/>
      </c>
      <c r="F10" s="9">
        <f>SUM(F3:F9)</f>
        <v/>
      </c>
      <c r="G10" s="9">
        <f>SUM(G3:G9)</f>
        <v/>
      </c>
      <c r="H10" s="9">
        <f>SUM(H3:H9)</f>
        <v/>
      </c>
      <c r="I10" s="9">
        <f>SUM(I3:I9)</f>
        <v/>
      </c>
      <c r="J10" s="9">
        <f>SUM(J3:J9)</f>
        <v/>
      </c>
      <c r="K10" s="9">
        <f>SUM(K3:K9)</f>
        <v/>
      </c>
      <c r="L10" s="9">
        <f>SUM(L3:L9)</f>
        <v/>
      </c>
      <c r="M10" s="9">
        <f>SUM(M3:M9)</f>
        <v/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LAZADA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>
      <c r="A2" s="5" t="n">
        <v>2026</v>
      </c>
      <c r="B2" s="5" t="inlineStr">
        <is>
          <t>JAN</t>
        </is>
      </c>
      <c r="C2" s="5" t="inlineStr">
        <is>
          <t>FEB</t>
        </is>
      </c>
      <c r="D2" s="5" t="inlineStr">
        <is>
          <t>MAR</t>
        </is>
      </c>
      <c r="E2" s="5" t="inlineStr">
        <is>
          <t>APR</t>
        </is>
      </c>
      <c r="F2" s="5" t="inlineStr">
        <is>
          <t>MAY</t>
        </is>
      </c>
      <c r="G2" s="5" t="inlineStr">
        <is>
          <t>JUN</t>
        </is>
      </c>
      <c r="H2" s="5" t="inlineStr">
        <is>
          <t>JUL</t>
        </is>
      </c>
      <c r="I2" s="5" t="inlineStr">
        <is>
          <t>AUG</t>
        </is>
      </c>
      <c r="J2" s="5" t="inlineStr">
        <is>
          <t>SEP</t>
        </is>
      </c>
      <c r="K2" s="5" t="inlineStr">
        <is>
          <t>OCT</t>
        </is>
      </c>
      <c r="L2" s="5" t="inlineStr">
        <is>
          <t>NOV</t>
        </is>
      </c>
      <c r="M2" s="5" t="inlineStr">
        <is>
          <t>DEC</t>
        </is>
      </c>
    </row>
    <row r="3">
      <c r="A3" s="6" t="inlineStr">
        <is>
          <t>HM-YKR05-MB</t>
        </is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/>
      <c r="K3" s="7" t="n"/>
      <c r="L3" s="7" t="n"/>
      <c r="M3" s="7" t="n"/>
    </row>
    <row r="4">
      <c r="A4" s="6" t="inlineStr">
        <is>
          <t>HM-YKR06-MB</t>
        </is>
      </c>
      <c r="B4" s="7" t="n">
        <v>0</v>
      </c>
      <c r="C4" s="7" t="n">
        <v>1</v>
      </c>
      <c r="D4" s="7" t="n">
        <v>0</v>
      </c>
      <c r="E4" s="7" t="n">
        <v>0</v>
      </c>
      <c r="F4" s="7" t="n">
        <v>2</v>
      </c>
      <c r="G4" s="7" t="n">
        <v>0</v>
      </c>
      <c r="H4" s="7" t="n">
        <v>0</v>
      </c>
      <c r="I4" s="7" t="n">
        <v>1</v>
      </c>
      <c r="J4" s="7" t="n"/>
      <c r="K4" s="7" t="n"/>
      <c r="L4" s="7" t="n"/>
      <c r="M4" s="7" t="n"/>
    </row>
    <row r="5">
      <c r="A5" s="6" t="inlineStr">
        <is>
          <t>HM-YKR07-MB</t>
        </is>
      </c>
      <c r="B5" s="7" t="n">
        <v>0</v>
      </c>
      <c r="C5" s="7" t="n">
        <v>0</v>
      </c>
      <c r="D5" s="7" t="n">
        <v>1</v>
      </c>
      <c r="E5" s="7" t="n">
        <v>0</v>
      </c>
      <c r="F5" s="7" t="n">
        <v>2</v>
      </c>
      <c r="G5" s="7" t="n">
        <v>0</v>
      </c>
      <c r="H5" s="7" t="n">
        <v>0</v>
      </c>
      <c r="I5" s="7" t="n">
        <v>1</v>
      </c>
      <c r="J5" s="7" t="n"/>
      <c r="K5" s="7" t="n"/>
      <c r="L5" s="7" t="n"/>
      <c r="M5" s="7" t="n"/>
    </row>
    <row r="6">
      <c r="A6" s="6" t="inlineStr">
        <is>
          <t>HM-YKR08-MB</t>
        </is>
      </c>
      <c r="B6" s="7" t="n">
        <v>3</v>
      </c>
      <c r="C6" s="7" t="n">
        <v>0</v>
      </c>
      <c r="D6" s="7" t="n">
        <v>0</v>
      </c>
      <c r="E6" s="7" t="n">
        <v>0</v>
      </c>
      <c r="F6" s="7" t="n">
        <v>4</v>
      </c>
      <c r="G6" s="7" t="n">
        <v>0</v>
      </c>
      <c r="H6" s="7" t="n">
        <v>0</v>
      </c>
      <c r="I6" s="7" t="n">
        <v>2</v>
      </c>
      <c r="J6" s="7" t="n"/>
      <c r="K6" s="7" t="n"/>
      <c r="L6" s="7" t="n"/>
      <c r="M6" s="7" t="n"/>
    </row>
    <row r="7">
      <c r="A7" s="6" t="inlineStr">
        <is>
          <t>HM-YKS4050-MB</t>
        </is>
      </c>
      <c r="B7" s="7" t="n">
        <v>1</v>
      </c>
      <c r="C7" s="7" t="n">
        <v>4</v>
      </c>
      <c r="D7" s="7" t="n">
        <v>0</v>
      </c>
      <c r="E7" s="7" t="n">
        <v>1</v>
      </c>
      <c r="F7" s="7" t="n">
        <v>1</v>
      </c>
      <c r="G7" s="7" t="n">
        <v>1</v>
      </c>
      <c r="H7" s="7" t="n">
        <v>0</v>
      </c>
      <c r="I7" s="7" t="n">
        <v>0</v>
      </c>
      <c r="J7" s="7" t="n"/>
      <c r="K7" s="7" t="n"/>
      <c r="L7" s="7" t="n"/>
      <c r="M7" s="7" t="n"/>
    </row>
    <row r="8">
      <c r="A8" s="6" t="inlineStr">
        <is>
          <t>HM-YKS5070-MB</t>
        </is>
      </c>
      <c r="B8" s="7" t="n">
        <v>1</v>
      </c>
      <c r="C8" s="7" t="n">
        <v>0</v>
      </c>
      <c r="D8" s="7" t="n">
        <v>1</v>
      </c>
      <c r="E8" s="7" t="n">
        <v>0</v>
      </c>
      <c r="F8" s="7" t="n">
        <v>0</v>
      </c>
      <c r="G8" s="7" t="n">
        <v>0</v>
      </c>
      <c r="H8" s="7" t="n">
        <v>3</v>
      </c>
      <c r="I8" s="7" t="n">
        <v>3</v>
      </c>
      <c r="J8" s="7" t="n"/>
      <c r="K8" s="7" t="n"/>
      <c r="L8" s="7" t="n"/>
      <c r="M8" s="7" t="n"/>
    </row>
    <row r="9">
      <c r="A9" s="6" t="inlineStr">
        <is>
          <t>HM-YKS7090-MB</t>
        </is>
      </c>
      <c r="B9" s="7" t="n">
        <v>0</v>
      </c>
      <c r="C9" s="7" t="n">
        <v>0</v>
      </c>
      <c r="D9" s="7" t="n">
        <v>2</v>
      </c>
      <c r="E9" s="7" t="n">
        <v>0</v>
      </c>
      <c r="F9" s="7" t="n">
        <v>1</v>
      </c>
      <c r="G9" s="7" t="n">
        <v>0</v>
      </c>
      <c r="H9" s="7" t="n">
        <v>4</v>
      </c>
      <c r="I9" s="7" t="n">
        <v>1</v>
      </c>
      <c r="J9" s="7" t="n"/>
      <c r="K9" s="7" t="n"/>
      <c r="L9" s="7" t="n"/>
      <c r="M9" s="7" t="n"/>
    </row>
    <row r="10">
      <c r="A10" s="8" t="inlineStr">
        <is>
          <t>TOTAL</t>
        </is>
      </c>
      <c r="B10" s="9">
        <f>SUM(B3:B9)</f>
        <v/>
      </c>
      <c r="C10" s="9">
        <f>SUM(C3:C9)</f>
        <v/>
      </c>
      <c r="D10" s="9">
        <f>SUM(D3:D9)</f>
        <v/>
      </c>
      <c r="E10" s="9">
        <f>SUM(E3:E9)</f>
        <v/>
      </c>
      <c r="F10" s="9">
        <f>SUM(F3:F9)</f>
        <v/>
      </c>
      <c r="G10" s="9">
        <f>SUM(G3:G9)</f>
        <v/>
      </c>
      <c r="H10" s="9">
        <f>SUM(H3:H9)</f>
        <v/>
      </c>
      <c r="I10" s="9">
        <f>SUM(I3:I9)</f>
        <v/>
      </c>
      <c r="J10" s="9">
        <f>SUM(J3:J9)</f>
        <v/>
      </c>
      <c r="K10" s="9">
        <f>SUM(K3:K9)</f>
        <v/>
      </c>
      <c r="L10" s="9">
        <f>SUM(L3:L9)</f>
        <v/>
      </c>
      <c r="M10" s="9">
        <f>SUM(M3:M9)</f>
        <v/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9" customWidth="1" min="4" max="4"/>
    <col width="3" customWidth="1" min="5" max="5"/>
    <col width="22" customWidth="1" min="6" max="6"/>
    <col width="16" customWidth="1" min="7" max="7"/>
    <col width="18" customWidth="1" min="8" max="8"/>
    <col width="9" customWidth="1" min="9" max="9"/>
    <col width="3" customWidth="1" min="10" max="10"/>
    <col width="14" customWidth="1" min="11" max="11"/>
    <col width="12" customWidth="1" min="12" max="12"/>
  </cols>
  <sheetData>
    <row r="1">
      <c r="A1" s="4" t="inlineStr">
        <is>
          <t>SHOPEE ADS</t>
        </is>
      </c>
      <c r="B1" s="4" t="n"/>
      <c r="C1" s="4" t="n"/>
      <c r="D1" s="4" t="n"/>
      <c r="F1" s="4" t="inlineStr">
        <is>
          <t>LAZADA SPONSORED AFFILIATE</t>
        </is>
      </c>
      <c r="G1" s="4" t="n"/>
      <c r="H1" s="4" t="n"/>
      <c r="I1" s="4" t="n"/>
      <c r="K1" s="4" t="inlineStr">
        <is>
          <t>2026 AUG</t>
        </is>
      </c>
      <c r="L1" s="4" t="n"/>
    </row>
    <row r="2">
      <c r="A2" s="5" t="inlineStr">
        <is>
          <t>2026 AUG.</t>
        </is>
      </c>
      <c r="B2" s="5" t="inlineStr">
        <is>
          <t>ADS GMV(RM)</t>
        </is>
      </c>
      <c r="C2" s="5" t="inlineStr">
        <is>
          <t>ADS EXPENSE(RM)</t>
        </is>
      </c>
      <c r="D2" s="5" t="inlineStr">
        <is>
          <t>%</t>
        </is>
      </c>
      <c r="F2" s="5" t="inlineStr">
        <is>
          <t>2026 AUG.</t>
        </is>
      </c>
      <c r="G2" s="5" t="inlineStr">
        <is>
          <t>ADS GMV(RM)</t>
        </is>
      </c>
      <c r="H2" s="5" t="inlineStr">
        <is>
          <t>ADS EXPENSE(RM)</t>
        </is>
      </c>
      <c r="I2" s="5" t="inlineStr">
        <is>
          <t>%</t>
        </is>
      </c>
      <c r="K2" s="5" t="inlineStr">
        <is>
          <t>LIVE SALES</t>
        </is>
      </c>
      <c r="L2" s="5" t="inlineStr">
        <is>
          <t>RM</t>
        </is>
      </c>
    </row>
    <row r="3">
      <c r="A3" s="6" t="inlineStr">
        <is>
          <t>1~8</t>
        </is>
      </c>
      <c r="B3" s="10" t="n">
        <v>123511.31</v>
      </c>
      <c r="C3" s="10" t="n">
        <v>10734.51</v>
      </c>
      <c r="D3" s="11">
        <f>IFERROR(C3/B3,0)</f>
        <v/>
      </c>
      <c r="F3" s="6" t="inlineStr">
        <is>
          <t>1~8</t>
        </is>
      </c>
      <c r="G3" s="10" t="n">
        <v>2211.9</v>
      </c>
      <c r="H3" s="10" t="n">
        <v>89.40000000000001</v>
      </c>
      <c r="I3" s="11">
        <f>IFERROR(H3/G3,0)</f>
        <v/>
      </c>
      <c r="K3" s="6" t="inlineStr">
        <is>
          <t>SHOPEE</t>
        </is>
      </c>
      <c r="L3" s="10" t="n">
        <v>0</v>
      </c>
    </row>
    <row r="4">
      <c r="A4" s="6" t="inlineStr">
        <is>
          <t>9~15</t>
        </is>
      </c>
      <c r="B4" s="10" t="n">
        <v>98184.07000000001</v>
      </c>
      <c r="C4" s="10" t="n">
        <v>8812.700000000001</v>
      </c>
      <c r="D4" s="11">
        <f>IFERROR(C4/B4,0)</f>
        <v/>
      </c>
      <c r="F4" s="6" t="inlineStr">
        <is>
          <t>9~15</t>
        </is>
      </c>
      <c r="G4" s="10" t="n">
        <v>2478.1</v>
      </c>
      <c r="H4" s="10" t="n">
        <v>94.7</v>
      </c>
      <c r="I4" s="11">
        <f>IFERROR(H4/G4,0)</f>
        <v/>
      </c>
      <c r="K4" s="6" t="inlineStr">
        <is>
          <t>TIKTOK</t>
        </is>
      </c>
      <c r="L4" s="10" t="n">
        <v>0</v>
      </c>
    </row>
    <row r="5">
      <c r="A5" s="6" t="inlineStr">
        <is>
          <t>16~22</t>
        </is>
      </c>
      <c r="B5" s="10" t="n">
        <v>84737.44</v>
      </c>
      <c r="C5" s="10" t="n">
        <v>7718.68</v>
      </c>
      <c r="D5" s="11">
        <f>IFERROR(C5/B5,0)</f>
        <v/>
      </c>
      <c r="F5" s="6" t="inlineStr">
        <is>
          <t>16~22</t>
        </is>
      </c>
      <c r="G5" s="10" t="n">
        <v>2175.4</v>
      </c>
      <c r="H5" s="10" t="n">
        <v>85</v>
      </c>
      <c r="I5" s="11">
        <f>IFERROR(H5/G5,0)</f>
        <v/>
      </c>
      <c r="K5" s="8" t="inlineStr">
        <is>
          <t>TOTAL</t>
        </is>
      </c>
      <c r="L5" s="12">
        <f>SUM(L3:L4)</f>
        <v/>
      </c>
    </row>
    <row r="6">
      <c r="A6" s="6" t="inlineStr">
        <is>
          <t>23~31</t>
        </is>
      </c>
      <c r="B6" s="10" t="n">
        <v>100148.24</v>
      </c>
      <c r="C6" s="10" t="n">
        <v>8798.610000000001</v>
      </c>
      <c r="D6" s="11">
        <f>IFERROR(C6/B6,0)</f>
        <v/>
      </c>
      <c r="F6" s="6" t="inlineStr">
        <is>
          <t>23~31</t>
        </is>
      </c>
      <c r="G6" s="10" t="n">
        <v>5278.8</v>
      </c>
      <c r="H6" s="10" t="n">
        <v>116.7</v>
      </c>
      <c r="I6" s="11">
        <f>IFERROR(H6/G6,0)</f>
        <v/>
      </c>
    </row>
    <row r="7">
      <c r="A7" s="8" t="inlineStr">
        <is>
          <t>TOTAL</t>
        </is>
      </c>
      <c r="B7" s="12">
        <f>SUM(B3:B6)</f>
        <v/>
      </c>
      <c r="C7" s="12">
        <f>SUM(C3:C6)</f>
        <v/>
      </c>
      <c r="D7" s="13">
        <f>IFERROR(C7/B7,0)</f>
        <v/>
      </c>
      <c r="F7" s="8" t="inlineStr">
        <is>
          <t>TOTAL</t>
        </is>
      </c>
      <c r="G7" s="12">
        <f>SUM(G3:G6)</f>
        <v/>
      </c>
      <c r="H7" s="12">
        <f>SUM(H3:H6)</f>
        <v/>
      </c>
      <c r="I7" s="13">
        <f>IFERROR(H7/G7,0)</f>
        <v/>
      </c>
    </row>
    <row r="9">
      <c r="A9" s="4" t="inlineStr">
        <is>
          <t>SHOPEE AMS</t>
        </is>
      </c>
      <c r="B9" s="4" t="n"/>
      <c r="C9" s="4" t="n"/>
      <c r="D9" s="4" t="n"/>
    </row>
    <row r="10">
      <c r="A10" s="5" t="inlineStr">
        <is>
          <t>2026 AUG.</t>
        </is>
      </c>
      <c r="B10" s="5" t="inlineStr">
        <is>
          <t>ADS GMV(RM)</t>
        </is>
      </c>
      <c r="C10" s="5" t="inlineStr">
        <is>
          <t>ADS EXPENSE(RM)</t>
        </is>
      </c>
      <c r="D10" s="5" t="inlineStr">
        <is>
          <t>%</t>
        </is>
      </c>
    </row>
    <row r="11">
      <c r="A11" s="6" t="inlineStr">
        <is>
          <t>1~31</t>
        </is>
      </c>
      <c r="B11" s="10" t="n">
        <v>187200</v>
      </c>
      <c r="C11" s="10" t="n">
        <v>6300</v>
      </c>
      <c r="D11" s="11">
        <f>IFERROR(C11/B11,0)</f>
        <v/>
      </c>
    </row>
    <row r="12">
      <c r="A12" s="8" t="inlineStr">
        <is>
          <t>TOTAL</t>
        </is>
      </c>
      <c r="B12" s="12">
        <f>SUM(B11:B11)</f>
        <v/>
      </c>
      <c r="C12" s="12">
        <f>SUM(C11:C11)</f>
        <v/>
      </c>
      <c r="D12" s="13">
        <f>IFERROR(C12/B12,0)</f>
        <v/>
      </c>
    </row>
  </sheetData>
  <mergeCells count="4">
    <mergeCell ref="A1:D1"/>
    <mergeCell ref="A9:D9"/>
    <mergeCell ref="K1:L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1" customWidth="1" min="4" max="4"/>
    <col width="13" customWidth="1" min="5" max="5"/>
    <col width="3" customWidth="1" min="6" max="6"/>
    <col width="12" customWidth="1" min="7" max="7"/>
    <col width="18" customWidth="1" min="8" max="8"/>
    <col width="11" customWidth="1" min="9" max="9"/>
    <col width="11" customWidth="1" min="10" max="10"/>
    <col width="13" customWidth="1" min="11" max="11"/>
  </cols>
  <sheetData>
    <row r="1">
      <c r="A1" s="5" t="inlineStr">
        <is>
          <t>2026 AUG.</t>
        </is>
      </c>
      <c r="B1" s="5" t="inlineStr">
        <is>
          <t>TOP 10 UP</t>
        </is>
      </c>
      <c r="C1" s="5" t="inlineStr">
        <is>
          <t>LAZADA</t>
        </is>
      </c>
      <c r="D1" s="5" t="inlineStr">
        <is>
          <t>SHOPEE</t>
        </is>
      </c>
      <c r="E1" s="5" t="inlineStr">
        <is>
          <t>TOTAL (QTY)</t>
        </is>
      </c>
      <c r="G1" s="5" t="inlineStr">
        <is>
          <t>2026 AUG.</t>
        </is>
      </c>
      <c r="H1" s="5" t="inlineStr">
        <is>
          <t>TOP 10 DOWN</t>
        </is>
      </c>
      <c r="I1" s="5" t="inlineStr">
        <is>
          <t>LAZADA</t>
        </is>
      </c>
      <c r="J1" s="5" t="inlineStr">
        <is>
          <t>SHOPEE</t>
        </is>
      </c>
      <c r="K1" s="5" t="inlineStr">
        <is>
          <t>TOTAL (QTY)</t>
        </is>
      </c>
    </row>
    <row r="2">
      <c r="A2" s="14" t="n">
        <v>1</v>
      </c>
      <c r="B2" s="6" t="inlineStr">
        <is>
          <t>HM-101-MS</t>
        </is>
      </c>
      <c r="C2" s="14" t="n">
        <v>23</v>
      </c>
      <c r="D2" s="14" t="n">
        <v>493</v>
      </c>
      <c r="E2" s="14">
        <f>C2+D2</f>
        <v/>
      </c>
      <c r="G2" s="14" t="n">
        <v>1</v>
      </c>
      <c r="H2" s="6" t="inlineStr">
        <is>
          <t>HMBF-83808-MS</t>
        </is>
      </c>
      <c r="I2" s="14" t="n">
        <v>0</v>
      </c>
      <c r="J2" s="14" t="n">
        <v>1</v>
      </c>
      <c r="K2" s="14">
        <f>I2+J2</f>
        <v/>
      </c>
    </row>
    <row r="3">
      <c r="A3" s="14" t="n">
        <v>2</v>
      </c>
      <c r="B3" s="6" t="inlineStr">
        <is>
          <t>HM-0001-MS</t>
        </is>
      </c>
      <c r="C3" s="14" t="n">
        <v>76</v>
      </c>
      <c r="D3" s="14" t="n">
        <v>409</v>
      </c>
      <c r="E3" s="14">
        <f>C3+D3</f>
        <v/>
      </c>
      <c r="G3" s="14" t="n">
        <v>2</v>
      </c>
      <c r="H3" s="6" t="inlineStr">
        <is>
          <t>HM-19044-W</t>
        </is>
      </c>
      <c r="I3" s="14" t="n">
        <v>0</v>
      </c>
      <c r="J3" s="14" t="n">
        <v>1</v>
      </c>
      <c r="K3" s="14">
        <f>I3+J3</f>
        <v/>
      </c>
    </row>
    <row r="4">
      <c r="A4" s="14" t="n">
        <v>3</v>
      </c>
      <c r="B4" s="6" t="inlineStr">
        <is>
          <t>HM-0067-MB</t>
        </is>
      </c>
      <c r="C4" s="14" t="n">
        <v>8</v>
      </c>
      <c r="D4" s="14" t="n">
        <v>424</v>
      </c>
      <c r="E4" s="14">
        <f>C4+D4</f>
        <v/>
      </c>
      <c r="G4" s="14" t="n">
        <v>3</v>
      </c>
      <c r="H4" s="6" t="inlineStr">
        <is>
          <t>HM-YKL08</t>
        </is>
      </c>
      <c r="I4" s="14" t="n">
        <v>0</v>
      </c>
      <c r="J4" s="14" t="n">
        <v>1</v>
      </c>
      <c r="K4" s="14">
        <f>I4+J4</f>
        <v/>
      </c>
    </row>
    <row r="5">
      <c r="A5" s="14" t="n">
        <v>4</v>
      </c>
      <c r="B5" s="6" t="inlineStr">
        <is>
          <t>HM-0012</t>
        </is>
      </c>
      <c r="C5" s="14" t="n">
        <v>26</v>
      </c>
      <c r="D5" s="14" t="n">
        <v>393</v>
      </c>
      <c r="E5" s="14">
        <f>C5+D5</f>
        <v/>
      </c>
      <c r="G5" s="14" t="n">
        <v>4</v>
      </c>
      <c r="H5" s="6" t="inlineStr">
        <is>
          <t>HML-502-501</t>
        </is>
      </c>
      <c r="I5" s="14" t="n">
        <v>0</v>
      </c>
      <c r="J5" s="14" t="n">
        <v>1</v>
      </c>
      <c r="K5" s="14">
        <f>I5+J5</f>
        <v/>
      </c>
    </row>
    <row r="6">
      <c r="A6" s="14" t="n">
        <v>5</v>
      </c>
      <c r="B6" s="6" t="inlineStr">
        <is>
          <t>HM-9105-MS</t>
        </is>
      </c>
      <c r="C6" s="14" t="n">
        <v>54</v>
      </c>
      <c r="D6" s="14" t="n">
        <v>353</v>
      </c>
      <c r="E6" s="14">
        <f>C6+D6</f>
        <v/>
      </c>
      <c r="G6" s="14" t="n">
        <v>5</v>
      </c>
      <c r="H6" s="6" t="inlineStr">
        <is>
          <t>HML-505-500</t>
        </is>
      </c>
      <c r="I6" s="14" t="n">
        <v>0</v>
      </c>
      <c r="J6" s="14" t="n">
        <v>1</v>
      </c>
      <c r="K6" s="14">
        <f>I6+J6</f>
        <v/>
      </c>
    </row>
    <row r="7">
      <c r="A7" s="14" t="n">
        <v>6</v>
      </c>
      <c r="B7" s="6" t="inlineStr">
        <is>
          <t>HM-88010-MS</t>
        </is>
      </c>
      <c r="C7" s="14" t="n">
        <v>17</v>
      </c>
      <c r="D7" s="14" t="n">
        <v>383</v>
      </c>
      <c r="E7" s="14">
        <f>C7+D7</f>
        <v/>
      </c>
      <c r="G7" s="14" t="n">
        <v>6</v>
      </c>
      <c r="H7" s="6" t="inlineStr">
        <is>
          <t>HMSC-6021</t>
        </is>
      </c>
      <c r="I7" s="14" t="n">
        <v>0</v>
      </c>
      <c r="J7" s="14" t="n">
        <v>1</v>
      </c>
      <c r="K7" s="14">
        <f>I7+J7</f>
        <v/>
      </c>
    </row>
    <row r="8">
      <c r="A8" s="14" t="n">
        <v>7</v>
      </c>
      <c r="B8" s="6" t="inlineStr">
        <is>
          <t>HM-40020-MS</t>
        </is>
      </c>
      <c r="C8" s="14" t="n">
        <v>0</v>
      </c>
      <c r="D8" s="14" t="n">
        <v>354</v>
      </c>
      <c r="E8" s="14">
        <f>C8+D8</f>
        <v/>
      </c>
      <c r="G8" s="14" t="n">
        <v>7</v>
      </c>
      <c r="H8" s="6" t="inlineStr">
        <is>
          <t>HM-613-YELLOW</t>
        </is>
      </c>
      <c r="I8" s="14" t="n">
        <v>0</v>
      </c>
      <c r="J8" s="14" t="n">
        <v>1</v>
      </c>
      <c r="K8" s="14">
        <f>I8+J8</f>
        <v/>
      </c>
    </row>
    <row r="9">
      <c r="A9" s="14" t="n">
        <v>8</v>
      </c>
      <c r="B9" s="6" t="inlineStr">
        <is>
          <t>HM-115</t>
        </is>
      </c>
      <c r="C9" s="14" t="n">
        <v>35</v>
      </c>
      <c r="D9" s="14" t="n">
        <v>266</v>
      </c>
      <c r="E9" s="14">
        <f>C9+D9</f>
        <v/>
      </c>
      <c r="G9" s="14" t="n">
        <v>8</v>
      </c>
      <c r="H9" s="6" t="inlineStr">
        <is>
          <t>HML-560</t>
        </is>
      </c>
      <c r="I9" s="14" t="n">
        <v>0</v>
      </c>
      <c r="J9" s="14" t="n">
        <v>1</v>
      </c>
      <c r="K9" s="14">
        <f>I9+J9</f>
        <v/>
      </c>
    </row>
    <row r="10">
      <c r="A10" s="14" t="n">
        <v>9</v>
      </c>
      <c r="B10" s="6" t="inlineStr">
        <is>
          <t>HM-3233-MS</t>
        </is>
      </c>
      <c r="C10" s="14" t="n">
        <v>23</v>
      </c>
      <c r="D10" s="14" t="n">
        <v>236</v>
      </c>
      <c r="E10" s="14">
        <f>C10+D10</f>
        <v/>
      </c>
      <c r="G10" s="14" t="n">
        <v>9</v>
      </c>
      <c r="H10" s="6" t="inlineStr">
        <is>
          <t>HM-88047-WD</t>
        </is>
      </c>
      <c r="I10" s="14" t="n">
        <v>1</v>
      </c>
      <c r="J10" s="14" t="n">
        <v>1</v>
      </c>
      <c r="K10" s="14">
        <f>I10+J10</f>
        <v/>
      </c>
    </row>
    <row r="11">
      <c r="A11" s="14" t="n">
        <v>10</v>
      </c>
      <c r="B11" s="6" t="inlineStr">
        <is>
          <t>HM-5201-MB</t>
        </is>
      </c>
      <c r="C11" s="14" t="n">
        <v>27</v>
      </c>
      <c r="D11" s="14" t="n">
        <v>209</v>
      </c>
      <c r="E11" s="14">
        <f>C11+D11</f>
        <v/>
      </c>
      <c r="G11" s="14" t="n">
        <v>10</v>
      </c>
      <c r="H11" s="6" t="inlineStr">
        <is>
          <t>HML-503-501</t>
        </is>
      </c>
      <c r="I11" s="14" t="n">
        <v>1</v>
      </c>
      <c r="J11" s="14" t="n">
        <v>1</v>
      </c>
      <c r="K11" s="14">
        <f>I11+J11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3" customWidth="1" min="13" max="13"/>
    <col width="12" customWidth="1" min="14" max="14"/>
  </cols>
  <sheetData>
    <row r="1">
      <c r="A1" s="15" t="inlineStr">
        <is>
          <t>Sales Forecast Summary (All brand)</t>
        </is>
      </c>
    </row>
    <row r="2">
      <c r="A2" s="16" t="inlineStr">
        <is>
          <t>2026 AUG</t>
        </is>
      </c>
    </row>
    <row r="3">
      <c r="A3" s="5" t="inlineStr">
        <is>
          <t>Categories</t>
        </is>
      </c>
      <c r="B3" s="5" t="inlineStr">
        <is>
          <t>QTY</t>
        </is>
      </c>
      <c r="C3" s="5" t="inlineStr">
        <is>
          <t>Shopee RM</t>
        </is>
      </c>
      <c r="D3" s="5" t="inlineStr">
        <is>
          <t>Lazada RM</t>
        </is>
      </c>
      <c r="E3" s="5" t="inlineStr">
        <is>
          <t>Cash RM</t>
        </is>
      </c>
      <c r="F3" s="5" t="inlineStr">
        <is>
          <t>Online RM</t>
        </is>
      </c>
      <c r="G3" s="5" t="inlineStr">
        <is>
          <t>Referral RM</t>
        </is>
      </c>
      <c r="H3" s="5" t="inlineStr">
        <is>
          <t>水工 RM</t>
        </is>
      </c>
      <c r="I3" s="5" t="inlineStr">
        <is>
          <t>Southern RM</t>
        </is>
      </c>
      <c r="J3" s="5" t="inlineStr">
        <is>
          <t>Tiktok RM</t>
        </is>
      </c>
      <c r="K3" s="5" t="inlineStr">
        <is>
          <t>Shopify RM</t>
        </is>
      </c>
      <c r="L3" s="5" t="inlineStr">
        <is>
          <t>Total RM</t>
        </is>
      </c>
      <c r="M3" s="5" t="inlineStr">
        <is>
          <t>Contribution</t>
        </is>
      </c>
      <c r="N3" s="5" t="inlineStr">
        <is>
          <t>Avg. Price</t>
        </is>
      </c>
    </row>
    <row r="4">
      <c r="A4" s="6" t="inlineStr">
        <is>
          <t>Building</t>
        </is>
      </c>
      <c r="B4" s="14" t="n">
        <v>321</v>
      </c>
      <c r="C4" s="17" t="n">
        <v>7291.96</v>
      </c>
      <c r="D4" s="17" t="n">
        <v>28.4</v>
      </c>
      <c r="E4" s="17" t="n">
        <v>7643</v>
      </c>
      <c r="F4" s="17" t="n"/>
      <c r="G4" s="17" t="n">
        <v>760</v>
      </c>
      <c r="H4" s="17" t="n">
        <v>25722.2</v>
      </c>
      <c r="I4" s="17" t="n">
        <v>6.1</v>
      </c>
      <c r="J4" s="17" t="n">
        <v>4.4</v>
      </c>
      <c r="K4" s="17" t="n"/>
      <c r="L4" s="18">
        <f>SUM(C4:K4)</f>
        <v/>
      </c>
      <c r="M4" s="11">
        <f>IFERROR(L4/$L$19,0)</f>
        <v/>
      </c>
      <c r="N4" s="10">
        <f>IFERROR(L4/B4,"")</f>
        <v/>
      </c>
    </row>
    <row r="5">
      <c r="A5" s="6" t="inlineStr">
        <is>
          <t>Electric</t>
        </is>
      </c>
      <c r="B5" s="14" t="n">
        <v>41</v>
      </c>
      <c r="C5" s="17" t="n"/>
      <c r="D5" s="17" t="n"/>
      <c r="E5" s="17" t="n">
        <v>6639.16</v>
      </c>
      <c r="F5" s="17" t="n"/>
      <c r="G5" s="17" t="n"/>
      <c r="H5" s="17" t="n">
        <v>3717.99</v>
      </c>
      <c r="I5" s="17" t="n">
        <v>45</v>
      </c>
      <c r="J5" s="17" t="n"/>
      <c r="K5" s="17" t="n"/>
      <c r="L5" s="18">
        <f>SUM(C5:K5)</f>
        <v/>
      </c>
      <c r="M5" s="11">
        <f>IFERROR(L5/$L$19,0)</f>
        <v/>
      </c>
      <c r="N5" s="10">
        <f>IFERROR(L5/B5,"")</f>
        <v/>
      </c>
    </row>
    <row r="6">
      <c r="A6" s="6" t="inlineStr">
        <is>
          <t>Fitting</t>
        </is>
      </c>
      <c r="B6" s="14" t="n">
        <v>1770</v>
      </c>
      <c r="C6" s="17" t="n">
        <v>2399.67</v>
      </c>
      <c r="D6" s="17" t="n">
        <v>289.26</v>
      </c>
      <c r="E6" s="17" t="n">
        <v>474.4</v>
      </c>
      <c r="F6" s="17" t="n"/>
      <c r="G6" s="17" t="n"/>
      <c r="H6" s="17" t="n">
        <v>4787.2</v>
      </c>
      <c r="I6" s="17" t="n">
        <v>2995.65</v>
      </c>
      <c r="J6" s="17" t="n">
        <v>16.4</v>
      </c>
      <c r="K6" s="17" t="n"/>
      <c r="L6" s="18">
        <f>SUM(C6:K6)</f>
        <v/>
      </c>
      <c r="M6" s="11">
        <f>IFERROR(L6/$L$19,0)</f>
        <v/>
      </c>
      <c r="N6" s="10">
        <f>IFERROR(L6/B6,"")</f>
        <v/>
      </c>
    </row>
    <row r="7">
      <c r="A7" s="6" t="inlineStr">
        <is>
          <t>Garden</t>
        </is>
      </c>
      <c r="B7" s="14" t="n">
        <v>6</v>
      </c>
      <c r="C7" s="17" t="n">
        <v>151.39</v>
      </c>
      <c r="D7" s="17" t="n"/>
      <c r="E7" s="17" t="n">
        <v>442</v>
      </c>
      <c r="F7" s="17" t="n"/>
      <c r="G7" s="17" t="n"/>
      <c r="H7" s="17" t="n">
        <v>250</v>
      </c>
      <c r="I7" s="17" t="n"/>
      <c r="J7" s="17" t="n">
        <v>20.4</v>
      </c>
      <c r="K7" s="17" t="n"/>
      <c r="L7" s="18">
        <f>SUM(C7:K7)</f>
        <v/>
      </c>
      <c r="M7" s="11">
        <f>IFERROR(L7/$L$19,0)</f>
        <v/>
      </c>
      <c r="N7" s="10">
        <f>IFERROR(L7/B7,"")</f>
        <v/>
      </c>
    </row>
    <row r="8">
      <c r="A8" s="6" t="inlineStr">
        <is>
          <t>Online Fee</t>
        </is>
      </c>
      <c r="B8" s="14" t="n">
        <v>2313</v>
      </c>
      <c r="C8" s="17" t="n">
        <v>-108729.74</v>
      </c>
      <c r="D8" s="17" t="n">
        <v>-5866.82</v>
      </c>
      <c r="E8" s="17" t="n"/>
      <c r="F8" s="17" t="n"/>
      <c r="G8" s="17" t="n"/>
      <c r="H8" s="17" t="n"/>
      <c r="I8" s="17" t="n"/>
      <c r="J8" s="17" t="n"/>
      <c r="K8" s="17" t="n"/>
      <c r="L8" s="18">
        <f>SUM(C8:K8)</f>
        <v/>
      </c>
      <c r="M8" s="11">
        <f>IFERROR(L8/$L$19,0)</f>
        <v/>
      </c>
      <c r="N8" s="10">
        <f>IFERROR(L8/B8,"")</f>
        <v/>
      </c>
    </row>
    <row r="9">
      <c r="A9" s="6" t="inlineStr">
        <is>
          <t>Kitchen</t>
        </is>
      </c>
      <c r="B9" s="14" t="n">
        <v>238</v>
      </c>
      <c r="C9" s="17" t="n">
        <v>23547.78</v>
      </c>
      <c r="D9" s="17" t="n">
        <v>95.06</v>
      </c>
      <c r="E9" s="17" t="n">
        <v>11577.8</v>
      </c>
      <c r="F9" s="17" t="n"/>
      <c r="G9" s="17" t="n">
        <v>600</v>
      </c>
      <c r="H9" s="17" t="n">
        <v>18120.7</v>
      </c>
      <c r="I9" s="17" t="n">
        <v>38266.65</v>
      </c>
      <c r="J9" s="17" t="n">
        <v>847.7</v>
      </c>
      <c r="K9" s="17" t="n">
        <v>441</v>
      </c>
      <c r="L9" s="18">
        <f>SUM(C9:K9)</f>
        <v/>
      </c>
      <c r="M9" s="11">
        <f>IFERROR(L9/$L$19,0)</f>
        <v/>
      </c>
      <c r="N9" s="10">
        <f>IFERROR(L9/B9,"")</f>
        <v/>
      </c>
    </row>
    <row r="10">
      <c r="A10" s="6" t="inlineStr">
        <is>
          <t>Lock</t>
        </is>
      </c>
      <c r="B10" s="14" t="n">
        <v>1789</v>
      </c>
      <c r="C10" s="17" t="n">
        <v>61871.11</v>
      </c>
      <c r="D10" s="17" t="n">
        <v>4459.53</v>
      </c>
      <c r="E10" s="17" t="n">
        <v>5746.1</v>
      </c>
      <c r="F10" s="17" t="n"/>
      <c r="G10" s="17" t="n"/>
      <c r="H10" s="17" t="n">
        <v>3581.9</v>
      </c>
      <c r="I10" s="17" t="n"/>
      <c r="J10" s="17" t="n">
        <v>5566.73</v>
      </c>
      <c r="K10" s="17" t="n">
        <v>343</v>
      </c>
      <c r="L10" s="18">
        <f>SUM(C10:K10)</f>
        <v/>
      </c>
      <c r="M10" s="11">
        <f>IFERROR(L10/$L$19,0)</f>
        <v/>
      </c>
      <c r="N10" s="10">
        <f>IFERROR(L10/B10,"")</f>
        <v/>
      </c>
    </row>
    <row r="11">
      <c r="A11" s="6" t="inlineStr">
        <is>
          <t>Sanitary</t>
        </is>
      </c>
      <c r="B11" s="14" t="n">
        <v>19171</v>
      </c>
      <c r="C11" s="17" t="n">
        <v>398376.91</v>
      </c>
      <c r="D11" s="17" t="n">
        <v>29141.8</v>
      </c>
      <c r="E11" s="17" t="n">
        <v>81870.19</v>
      </c>
      <c r="F11" s="17" t="n">
        <v>590.38</v>
      </c>
      <c r="G11" s="17" t="n">
        <v>1800.75</v>
      </c>
      <c r="H11" s="17" t="n">
        <v>141251.76</v>
      </c>
      <c r="I11" s="17" t="n">
        <v>877992.45</v>
      </c>
      <c r="J11" s="17" t="n">
        <v>18579.63</v>
      </c>
      <c r="K11" s="17" t="n">
        <v>4363.2</v>
      </c>
      <c r="L11" s="18">
        <f>SUM(C11:K11)</f>
        <v/>
      </c>
      <c r="M11" s="11">
        <f>IFERROR(L11/$L$19,0)</f>
        <v/>
      </c>
      <c r="N11" s="10">
        <f>IFERROR(L11/B11,"")</f>
        <v/>
      </c>
    </row>
    <row r="12">
      <c r="A12" s="6" t="inlineStr">
        <is>
          <t>Service Fee</t>
        </is>
      </c>
      <c r="B12" s="14" t="n">
        <v>1</v>
      </c>
      <c r="C12" s="17" t="n">
        <v>2</v>
      </c>
      <c r="D12" s="17" t="n"/>
      <c r="E12" s="17" t="n"/>
      <c r="F12" s="17" t="n"/>
      <c r="G12" s="17" t="n"/>
      <c r="H12" s="17" t="n"/>
      <c r="I12" s="17" t="n"/>
      <c r="J12" s="17" t="n"/>
      <c r="K12" s="17" t="n"/>
      <c r="L12" s="18">
        <f>SUM(C12:K12)</f>
        <v/>
      </c>
      <c r="M12" s="11">
        <f>IFERROR(L12/$L$19,0)</f>
        <v/>
      </c>
      <c r="N12" s="10">
        <f>IFERROR(L12/B12,"")</f>
        <v/>
      </c>
    </row>
    <row r="13">
      <c r="A13" s="6" t="inlineStr">
        <is>
          <t>Shipping Fee</t>
        </is>
      </c>
      <c r="B13" s="14" t="n">
        <v>1054</v>
      </c>
      <c r="C13" s="17" t="n">
        <v>5224.88</v>
      </c>
      <c r="D13" s="17" t="n">
        <v>778.85</v>
      </c>
      <c r="E13" s="17" t="n">
        <v>12</v>
      </c>
      <c r="F13" s="17" t="n">
        <v>48</v>
      </c>
      <c r="G13" s="17" t="n"/>
      <c r="H13" s="17" t="n">
        <v>477</v>
      </c>
      <c r="I13" s="17" t="n">
        <v>690</v>
      </c>
      <c r="J13" s="17" t="n">
        <v>329.5</v>
      </c>
      <c r="K13" s="17" t="n">
        <v>494</v>
      </c>
      <c r="L13" s="18">
        <f>SUM(C13:K13)</f>
        <v/>
      </c>
      <c r="M13" s="11">
        <f>IFERROR(L13/$L$19,0)</f>
        <v/>
      </c>
      <c r="N13" s="10">
        <f>IFERROR(L13/B13,"")</f>
        <v/>
      </c>
    </row>
    <row r="14">
      <c r="A14" s="6" t="inlineStr">
        <is>
          <t>Sample</t>
        </is>
      </c>
      <c r="B14" s="14" t="n">
        <v>47</v>
      </c>
      <c r="C14" s="17" t="n"/>
      <c r="D14" s="17" t="n"/>
      <c r="E14" s="17" t="n">
        <v>2340</v>
      </c>
      <c r="F14" s="17" t="n"/>
      <c r="G14" s="17" t="n"/>
      <c r="H14" s="17" t="n">
        <v>1025</v>
      </c>
      <c r="I14" s="17" t="n">
        <v>18487.71</v>
      </c>
      <c r="J14" s="17" t="n"/>
      <c r="K14" s="17" t="n"/>
      <c r="L14" s="18">
        <f>SUM(C14:K14)</f>
        <v/>
      </c>
      <c r="M14" s="11">
        <f>IFERROR(L14/$L$19,0)</f>
        <v/>
      </c>
      <c r="N14" s="10">
        <f>IFERROR(L14/B14,"")</f>
        <v/>
      </c>
    </row>
    <row r="15">
      <c r="A15" s="6" t="inlineStr">
        <is>
          <t>Transaction Fee</t>
        </is>
      </c>
      <c r="B15" s="14" t="n">
        <v>-3</v>
      </c>
      <c r="C15" s="17" t="n">
        <v>42</v>
      </c>
      <c r="D15" s="17" t="n">
        <v>-416.93</v>
      </c>
      <c r="E15" s="17" t="n"/>
      <c r="F15" s="17" t="n">
        <v>-29.1</v>
      </c>
      <c r="G15" s="17" t="n"/>
      <c r="H15" s="17" t="n">
        <v>-296.65</v>
      </c>
      <c r="I15" s="17" t="n"/>
      <c r="J15" s="17" t="n"/>
      <c r="K15" s="17" t="n"/>
      <c r="L15" s="18">
        <f>SUM(C15:K15)</f>
        <v/>
      </c>
      <c r="M15" s="11">
        <f>IFERROR(L15/$L$19,0)</f>
        <v/>
      </c>
      <c r="N15" s="10">
        <f>IFERROR(L15/B15,"")</f>
        <v/>
      </c>
    </row>
    <row r="16">
      <c r="A16" s="6" t="inlineStr">
        <is>
          <t>Transport</t>
        </is>
      </c>
      <c r="B16" s="14" t="n">
        <v>0</v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8">
        <f>SUM(C16:K16)</f>
        <v/>
      </c>
      <c r="M16" s="11">
        <f>IFERROR(L16/$L$19,0)</f>
        <v/>
      </c>
      <c r="N16" s="10">
        <f>IFERROR(L16/B16,"")</f>
        <v/>
      </c>
    </row>
    <row r="17">
      <c r="A17" s="6" t="inlineStr">
        <is>
          <t>Install</t>
        </is>
      </c>
      <c r="B17" s="14" t="n">
        <v>3</v>
      </c>
      <c r="C17" s="17" t="n"/>
      <c r="D17" s="17" t="n"/>
      <c r="E17" s="17" t="n">
        <v>40</v>
      </c>
      <c r="F17" s="17" t="n"/>
      <c r="G17" s="17" t="n"/>
      <c r="H17" s="17" t="n">
        <v>180</v>
      </c>
      <c r="I17" s="17" t="n"/>
      <c r="J17" s="17" t="n"/>
      <c r="K17" s="17" t="n"/>
      <c r="L17" s="18">
        <f>SUM(C17:K17)</f>
        <v/>
      </c>
      <c r="M17" s="11">
        <f>IFERROR(L17/$L$19,0)</f>
        <v/>
      </c>
      <c r="N17" s="10">
        <f>IFERROR(L17/B17,"")</f>
        <v/>
      </c>
    </row>
    <row r="18">
      <c r="A18" s="6" t="inlineStr">
        <is>
          <t>Valve</t>
        </is>
      </c>
      <c r="B18" s="14" t="n">
        <v>452</v>
      </c>
      <c r="C18" s="17" t="n">
        <v>2372.79</v>
      </c>
      <c r="D18" s="17" t="n">
        <v>793.72</v>
      </c>
      <c r="E18" s="17" t="n">
        <v>44.4</v>
      </c>
      <c r="F18" s="17" t="n"/>
      <c r="G18" s="17" t="n"/>
      <c r="H18" s="17" t="n">
        <v>2339.46</v>
      </c>
      <c r="I18" s="17" t="n"/>
      <c r="J18" s="17" t="n">
        <v>5.9</v>
      </c>
      <c r="K18" s="17" t="n"/>
      <c r="L18" s="18">
        <f>SUM(C18:K18)</f>
        <v/>
      </c>
      <c r="M18" s="11">
        <f>IFERROR(L18/$L$19,0)</f>
        <v/>
      </c>
      <c r="N18" s="10">
        <f>IFERROR(L18/B18,"")</f>
        <v/>
      </c>
    </row>
    <row r="19">
      <c r="A19" s="8" t="inlineStr">
        <is>
          <t>TOTAL</t>
        </is>
      </c>
      <c r="B19" s="9">
        <f>SUM(B4:B18)</f>
        <v/>
      </c>
      <c r="C19" s="12">
        <f>SUM(C4:C18)</f>
        <v/>
      </c>
      <c r="D19" s="12">
        <f>SUM(D4:D18)</f>
        <v/>
      </c>
      <c r="E19" s="12">
        <f>SUM(E4:E18)</f>
        <v/>
      </c>
      <c r="F19" s="12">
        <f>SUM(F4:F18)</f>
        <v/>
      </c>
      <c r="G19" s="12">
        <f>SUM(G4:G18)</f>
        <v/>
      </c>
      <c r="H19" s="12">
        <f>SUM(H4:H18)</f>
        <v/>
      </c>
      <c r="I19" s="12">
        <f>SUM(I4:I18)</f>
        <v/>
      </c>
      <c r="J19" s="12">
        <f>SUM(J4:J18)</f>
        <v/>
      </c>
      <c r="K19" s="12">
        <f>SUM(K4:K18)</f>
        <v/>
      </c>
      <c r="L19" s="12">
        <f>SUM(L4:L18)</f>
        <v/>
      </c>
      <c r="M19" s="13">
        <f>IFERROR(L19/$L$19,0)</f>
        <v/>
      </c>
      <c r="N19" s="12">
        <f>IFERROR(L19/B19,"")</f>
        <v/>
      </c>
    </row>
    <row r="21">
      <c r="A21" s="19" t="inlineStr">
        <is>
          <t>数据来源 / Source: data/2026-08.json（由用户提供的当月实际数字）；Total RM = 各渠道加总，Contribution = Total RM ÷ 合计，Avg. Price = Total RM ÷ QTY。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3" customWidth="1" min="13" max="13"/>
    <col width="12" customWidth="1" min="14" max="14"/>
  </cols>
  <sheetData>
    <row r="1">
      <c r="A1" s="15" t="inlineStr">
        <is>
          <t>Sales Forecast Summary (Hemos &amp; Hemos X only)</t>
        </is>
      </c>
    </row>
    <row r="2">
      <c r="A2" s="16" t="inlineStr">
        <is>
          <t>2026 AUG</t>
        </is>
      </c>
    </row>
    <row r="3">
      <c r="A3" s="5" t="inlineStr">
        <is>
          <t>Categories</t>
        </is>
      </c>
      <c r="B3" s="5" t="inlineStr">
        <is>
          <t>QTY</t>
        </is>
      </c>
      <c r="C3" s="5" t="inlineStr">
        <is>
          <t>Shopee RM</t>
        </is>
      </c>
      <c r="D3" s="5" t="inlineStr">
        <is>
          <t>Lazada RM</t>
        </is>
      </c>
      <c r="E3" s="5" t="inlineStr">
        <is>
          <t>Cash RM</t>
        </is>
      </c>
      <c r="F3" s="5" t="inlineStr">
        <is>
          <t>Online RM</t>
        </is>
      </c>
      <c r="G3" s="5" t="inlineStr">
        <is>
          <t>Referral RM</t>
        </is>
      </c>
      <c r="H3" s="5" t="inlineStr">
        <is>
          <t>水工 RM</t>
        </is>
      </c>
      <c r="I3" s="5" t="inlineStr">
        <is>
          <t>Southern RM</t>
        </is>
      </c>
      <c r="J3" s="5" t="inlineStr">
        <is>
          <t>Tiktok RM</t>
        </is>
      </c>
      <c r="K3" s="5" t="inlineStr">
        <is>
          <t>Shopify RM</t>
        </is>
      </c>
      <c r="L3" s="5" t="inlineStr">
        <is>
          <t>Total RM</t>
        </is>
      </c>
      <c r="M3" s="5" t="inlineStr">
        <is>
          <t>Contribution</t>
        </is>
      </c>
      <c r="N3" s="5" t="inlineStr">
        <is>
          <t>Avg. Price</t>
        </is>
      </c>
    </row>
    <row r="4">
      <c r="A4" s="6" t="inlineStr">
        <is>
          <t>Electric</t>
        </is>
      </c>
      <c r="B4" s="14" t="n">
        <v>1</v>
      </c>
      <c r="C4" s="17" t="n"/>
      <c r="D4" s="17" t="n"/>
      <c r="E4" s="17" t="n"/>
      <c r="F4" s="17" t="n"/>
      <c r="G4" s="17" t="n"/>
      <c r="H4" s="17" t="n"/>
      <c r="I4" s="17" t="n">
        <v>45</v>
      </c>
      <c r="J4" s="17" t="n"/>
      <c r="K4" s="17" t="n"/>
      <c r="L4" s="18">
        <f>SUM(C4:K4)</f>
        <v/>
      </c>
      <c r="M4" s="11">
        <f>IFERROR(L4/$L$13,0)</f>
        <v/>
      </c>
      <c r="N4" s="10">
        <f>IFERROR(L4/B4,"")</f>
        <v/>
      </c>
    </row>
    <row r="5">
      <c r="A5" s="6" t="inlineStr">
        <is>
          <t>Building</t>
        </is>
      </c>
      <c r="B5" s="14" t="n">
        <v>43</v>
      </c>
      <c r="C5" s="17" t="n"/>
      <c r="D5" s="17" t="n"/>
      <c r="E5" s="17" t="n">
        <v>1520</v>
      </c>
      <c r="F5" s="17" t="n"/>
      <c r="G5" s="17" t="n">
        <v>760</v>
      </c>
      <c r="H5" s="17" t="n">
        <v>14660</v>
      </c>
      <c r="I5" s="17" t="n"/>
      <c r="J5" s="17" t="n"/>
      <c r="K5" s="17" t="n"/>
      <c r="L5" s="18">
        <f>SUM(C5:K5)</f>
        <v/>
      </c>
      <c r="M5" s="11">
        <f>IFERROR(L5/$L$13,0)</f>
        <v/>
      </c>
      <c r="N5" s="10">
        <f>IFERROR(L5/B5,"")</f>
        <v/>
      </c>
    </row>
    <row r="6">
      <c r="A6" s="6" t="inlineStr">
        <is>
          <t>Fitting</t>
        </is>
      </c>
      <c r="B6" s="14" t="n">
        <v>1094</v>
      </c>
      <c r="C6" s="17" t="n">
        <v>1121.37</v>
      </c>
      <c r="D6" s="17" t="n">
        <v>253.16</v>
      </c>
      <c r="E6" s="17" t="n">
        <v>211.9</v>
      </c>
      <c r="F6" s="17" t="n"/>
      <c r="G6" s="17" t="n"/>
      <c r="H6" s="17" t="n">
        <v>2619.3</v>
      </c>
      <c r="I6" s="17" t="n">
        <v>2995.65</v>
      </c>
      <c r="J6" s="17" t="n"/>
      <c r="K6" s="17" t="n"/>
      <c r="L6" s="18">
        <f>SUM(C6:K6)</f>
        <v/>
      </c>
      <c r="M6" s="11">
        <f>IFERROR(L6/$L$13,0)</f>
        <v/>
      </c>
      <c r="N6" s="10">
        <f>IFERROR(L6/B6,"")</f>
        <v/>
      </c>
    </row>
    <row r="7">
      <c r="A7" s="6" t="inlineStr">
        <is>
          <t>Garden</t>
        </is>
      </c>
      <c r="B7" s="14" t="n">
        <v>6</v>
      </c>
      <c r="C7" s="17" t="n">
        <v>151.39</v>
      </c>
      <c r="D7" s="17" t="n"/>
      <c r="E7" s="17" t="n">
        <v>442</v>
      </c>
      <c r="F7" s="17" t="n"/>
      <c r="G7" s="17" t="n"/>
      <c r="H7" s="17" t="n">
        <v>250</v>
      </c>
      <c r="I7" s="17" t="n"/>
      <c r="J7" s="17" t="n">
        <v>20.4</v>
      </c>
      <c r="K7" s="17" t="n"/>
      <c r="L7" s="18">
        <f>SUM(C7:K7)</f>
        <v/>
      </c>
      <c r="M7" s="11">
        <f>IFERROR(L7/$L$13,0)</f>
        <v/>
      </c>
      <c r="N7" s="10">
        <f>IFERROR(L7/B7,"")</f>
        <v/>
      </c>
    </row>
    <row r="8">
      <c r="A8" s="6" t="inlineStr">
        <is>
          <t>Kitchen</t>
        </is>
      </c>
      <c r="B8" s="14" t="n">
        <v>214</v>
      </c>
      <c r="C8" s="17" t="n">
        <v>23547.78</v>
      </c>
      <c r="D8" s="17" t="n">
        <v>95.06</v>
      </c>
      <c r="E8" s="17" t="n">
        <v>6840.4</v>
      </c>
      <c r="F8" s="17" t="n"/>
      <c r="G8" s="17" t="n">
        <v>600</v>
      </c>
      <c r="H8" s="17" t="n">
        <v>10371.1</v>
      </c>
      <c r="I8" s="17" t="n">
        <v>38266.65</v>
      </c>
      <c r="J8" s="17" t="n">
        <v>847.7</v>
      </c>
      <c r="K8" s="17" t="n">
        <v>441</v>
      </c>
      <c r="L8" s="18">
        <f>SUM(C8:K8)</f>
        <v/>
      </c>
      <c r="M8" s="11">
        <f>IFERROR(L8/$L$13,0)</f>
        <v/>
      </c>
      <c r="N8" s="10">
        <f>IFERROR(L8/B8,"")</f>
        <v/>
      </c>
    </row>
    <row r="9">
      <c r="A9" s="6" t="inlineStr">
        <is>
          <t>Sample</t>
        </is>
      </c>
      <c r="B9" s="14" t="n">
        <v>45</v>
      </c>
      <c r="C9" s="17" t="n"/>
      <c r="D9" s="17" t="n"/>
      <c r="E9" s="17" t="n">
        <v>2340</v>
      </c>
      <c r="F9" s="17" t="n"/>
      <c r="G9" s="17" t="n"/>
      <c r="H9" s="17" t="n">
        <v>625</v>
      </c>
      <c r="I9" s="17" t="n">
        <v>18487.71</v>
      </c>
      <c r="J9" s="17" t="n"/>
      <c r="K9" s="17" t="n"/>
      <c r="L9" s="18">
        <f>SUM(C9:K9)</f>
        <v/>
      </c>
      <c r="M9" s="11">
        <f>IFERROR(L9/$L$13,0)</f>
        <v/>
      </c>
      <c r="N9" s="10">
        <f>IFERROR(L9/B9,"")</f>
        <v/>
      </c>
    </row>
    <row r="10">
      <c r="A10" s="6" t="inlineStr">
        <is>
          <t>Lock</t>
        </is>
      </c>
      <c r="B10" s="14" t="n">
        <v>1777</v>
      </c>
      <c r="C10" s="17" t="n">
        <v>61850.11</v>
      </c>
      <c r="D10" s="17" t="n">
        <v>4459.53</v>
      </c>
      <c r="E10" s="17" t="n">
        <v>2756.1</v>
      </c>
      <c r="F10" s="17" t="n"/>
      <c r="G10" s="17" t="n"/>
      <c r="H10" s="17" t="n">
        <v>2316.9</v>
      </c>
      <c r="I10" s="17" t="n"/>
      <c r="J10" s="17" t="n">
        <v>5531.93</v>
      </c>
      <c r="K10" s="17" t="n">
        <v>328</v>
      </c>
      <c r="L10" s="18">
        <f>SUM(C10:K10)</f>
        <v/>
      </c>
      <c r="M10" s="11">
        <f>IFERROR(L10/$L$13,0)</f>
        <v/>
      </c>
      <c r="N10" s="10">
        <f>IFERROR(L10/B10,"")</f>
        <v/>
      </c>
    </row>
    <row r="11">
      <c r="A11" s="6" t="inlineStr">
        <is>
          <t>Sanitary</t>
        </is>
      </c>
      <c r="B11" s="14" t="n">
        <v>18193</v>
      </c>
      <c r="C11" s="17" t="n">
        <v>396759.8</v>
      </c>
      <c r="D11" s="17" t="n">
        <v>28998.38</v>
      </c>
      <c r="E11" s="17" t="n">
        <v>81589.89</v>
      </c>
      <c r="F11" s="17" t="n">
        <v>590.38</v>
      </c>
      <c r="G11" s="17" t="n">
        <v>1800.75</v>
      </c>
      <c r="H11" s="17" t="n">
        <v>131506.46</v>
      </c>
      <c r="I11" s="17" t="n">
        <v>877992.45</v>
      </c>
      <c r="J11" s="17" t="n">
        <v>18453.53</v>
      </c>
      <c r="K11" s="17" t="n">
        <v>4363.2</v>
      </c>
      <c r="L11" s="18">
        <f>SUM(C11:K11)</f>
        <v/>
      </c>
      <c r="M11" s="11">
        <f>IFERROR(L11/$L$13,0)</f>
        <v/>
      </c>
      <c r="N11" s="10">
        <f>IFERROR(L11/B11,"")</f>
        <v/>
      </c>
    </row>
    <row r="12">
      <c r="A12" s="6" t="inlineStr">
        <is>
          <t>Valve</t>
        </is>
      </c>
      <c r="B12" s="14" t="n">
        <v>0</v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8">
        <f>SUM(C12:K12)</f>
        <v/>
      </c>
      <c r="M12" s="11">
        <f>IFERROR(L12/$L$13,0)</f>
        <v/>
      </c>
      <c r="N12" s="10">
        <f>IFERROR(L12/B12,"")</f>
        <v/>
      </c>
    </row>
    <row r="13">
      <c r="A13" s="8" t="inlineStr">
        <is>
          <t>TOTAL</t>
        </is>
      </c>
      <c r="B13" s="9">
        <f>SUM(B4:B12)</f>
        <v/>
      </c>
      <c r="C13" s="12">
        <f>SUM(C4:C12)</f>
        <v/>
      </c>
      <c r="D13" s="12">
        <f>SUM(D4:D12)</f>
        <v/>
      </c>
      <c r="E13" s="12">
        <f>SUM(E4:E12)</f>
        <v/>
      </c>
      <c r="F13" s="12">
        <f>SUM(F4:F12)</f>
        <v/>
      </c>
      <c r="G13" s="12">
        <f>SUM(G4:G12)</f>
        <v/>
      </c>
      <c r="H13" s="12">
        <f>SUM(H4:H12)</f>
        <v/>
      </c>
      <c r="I13" s="12">
        <f>SUM(I4:I12)</f>
        <v/>
      </c>
      <c r="J13" s="12">
        <f>SUM(J4:J12)</f>
        <v/>
      </c>
      <c r="K13" s="12">
        <f>SUM(K4:K12)</f>
        <v/>
      </c>
      <c r="L13" s="12">
        <f>SUM(L4:L12)</f>
        <v/>
      </c>
      <c r="M13" s="13">
        <f>IFERROR(L13/$L$13,0)</f>
        <v/>
      </c>
      <c r="N13" s="12">
        <f>IFERROR(L13/B13,"")</f>
        <v/>
      </c>
    </row>
    <row r="15">
      <c r="A15" s="19" t="inlineStr">
        <is>
          <t>数据来源 / Source: data/2026-08.json（由用户提供的当月实际数字）；Total RM = 各渠道加总，Contribution = Total RM ÷ 合计，Avg. Price = Total RM ÷ QTY。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2026-09-08T08:09:22Z</dcterms:created>
  <dcterms:modified xsi:type="dcterms:W3CDTF">2026-09-08T08:09:22Z</dcterms:modified>
</cp:coreProperties>
</file>